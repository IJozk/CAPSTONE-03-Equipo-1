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 del proyecto" sheetId="1" r:id="rId4"/>
    <sheet state="visible" name="Tabla de Precios por Tier" sheetId="2" r:id="rId5"/>
  </sheets>
  <definedNames/>
  <calcPr/>
</workbook>
</file>

<file path=xl/sharedStrings.xml><?xml version="1.0" encoding="utf-8"?>
<sst xmlns="http://schemas.openxmlformats.org/spreadsheetml/2006/main" count="147" uniqueCount="86">
  <si>
    <t>Fase</t>
  </si>
  <si>
    <t>Semanas</t>
  </si>
  <si>
    <t>Costo RRHH (CLP)</t>
  </si>
  <si>
    <t>Costo Indirectos (CLP)</t>
  </si>
  <si>
    <t>Costo Total (CLP)</t>
  </si>
  <si>
    <t>Recurso</t>
  </si>
  <si>
    <t>Cantidad</t>
  </si>
  <si>
    <t>Horas/Semana</t>
  </si>
  <si>
    <t>Total Horas</t>
  </si>
  <si>
    <t>Tarifa/Hora (CLP)</t>
  </si>
  <si>
    <t>Sprint 0 - Planificación</t>
  </si>
  <si>
    <t>Desarrollador Full Stack Junior 1 (Kevin - Frontend)</t>
  </si>
  <si>
    <t>Sprint 1 - Construcción Base</t>
  </si>
  <si>
    <t>Desarrollador Full Stack Junior 2 (Manuel - Backend)</t>
  </si>
  <si>
    <t>Sprint 2 - Sistema Evaluaciones</t>
  </si>
  <si>
    <t>Desarrollador Full Stack Junior 3 (Jorge - Backend)</t>
  </si>
  <si>
    <t>Sprint 3 - Gestión Académica</t>
  </si>
  <si>
    <t>SUBTOTAL RECURSOS HUMANOS</t>
  </si>
  <si>
    <t>Sprint 4 - Asistencia</t>
  </si>
  <si>
    <t>Sprint 5 - Encuestas y BI</t>
  </si>
  <si>
    <t>Sprints 6-8 - Desarrollo Continuo</t>
  </si>
  <si>
    <t>Semana 9 - Testing</t>
  </si>
  <si>
    <t>Semana 10 - Deployment</t>
  </si>
  <si>
    <t>Semana 11 - Ajustes Finales</t>
  </si>
  <si>
    <t>TOTAL</t>
  </si>
  <si>
    <t>Componente</t>
  </si>
  <si>
    <t>Servicio</t>
  </si>
  <si>
    <t>Especificaciones</t>
  </si>
  <si>
    <t>Costo Mensual</t>
  </si>
  <si>
    <t>Frontend</t>
  </si>
  <si>
    <t>CloudFront + S3</t>
  </si>
  <si>
    <t>10 GB transferencia + storage</t>
  </si>
  <si>
    <t>25 GB transferencia + storage</t>
  </si>
  <si>
    <t>50 GB transferencia + storage</t>
  </si>
  <si>
    <t>100+ GB transferencia + CDN</t>
  </si>
  <si>
    <t>Backend</t>
  </si>
  <si>
    <t>EC2 t3.small</t>
  </si>
  <si>
    <t>2 vCPU, 2 GB RAM</t>
  </si>
  <si>
    <t>EC2 t3.medium</t>
  </si>
  <si>
    <t>2 vCPU, 4 GB RAM</t>
  </si>
  <si>
    <t>EC2 t3.large</t>
  </si>
  <si>
    <t>2 vCPU, 8 GB RAM</t>
  </si>
  <si>
    <t>EC2 t3.xlarge</t>
  </si>
  <si>
    <t>4 vCPU, 16 GB RAM</t>
  </si>
  <si>
    <t>Base de Datos</t>
  </si>
  <si>
    <t>Supabase Pro (compartido)</t>
  </si>
  <si>
    <t>Hasta 8 GB</t>
  </si>
  <si>
    <t>Supabase Team (dedicado)</t>
  </si>
  <si>
    <t>Hasta 50 GB</t>
  </si>
  <si>
    <t>RDS PostgreSQL</t>
  </si>
  <si>
    <t>db.t3.large + 200GB</t>
  </si>
  <si>
    <t>Looker/BI</t>
  </si>
  <si>
    <t>BigQuery + Cloud SQL</t>
  </si>
  <si>
    <t>Storage + queries básicos</t>
  </si>
  <si>
    <t>Storage + queries medios</t>
  </si>
  <si>
    <t>Storage + queries altos</t>
  </si>
  <si>
    <t>Storage + queries enterprise</t>
  </si>
  <si>
    <t>DNS/SSL</t>
  </si>
  <si>
    <t>Route 53 + Cert Manager</t>
  </si>
  <si>
    <t>Dominio + certificado</t>
  </si>
  <si>
    <t>TOTAL POR CLIENTE</t>
  </si>
  <si>
    <t>Load Balancer</t>
  </si>
  <si>
    <t>ALB (si necesario)</t>
  </si>
  <si>
    <t>Distribución de carga</t>
  </si>
  <si>
    <t>ALB</t>
  </si>
  <si>
    <t>ALB + Auto Scaling</t>
  </si>
  <si>
    <t>Alta disponibilidad</t>
  </si>
  <si>
    <t>Precio al cliente</t>
  </si>
  <si>
    <t>Margen bruto</t>
  </si>
  <si>
    <t>Variable segun la cantidad de clientes</t>
  </si>
  <si>
    <t>Margen %</t>
  </si>
  <si>
    <t>Variable según customización</t>
  </si>
  <si>
    <t>Tier</t>
  </si>
  <si>
    <t>Usuarios</t>
  </si>
  <si>
    <t>Precio</t>
  </si>
  <si>
    <t>Costo Infraestructura</t>
  </si>
  <si>
    <t>Margen Bruto</t>
  </si>
  <si>
    <t>tier 1</t>
  </si>
  <si>
    <t>0-200</t>
  </si>
  <si>
    <t>tier 2</t>
  </si>
  <si>
    <t>201-500</t>
  </si>
  <si>
    <t>Tier 3</t>
  </si>
  <si>
    <t>501-1000</t>
  </si>
  <si>
    <t>Tier 4</t>
  </si>
  <si>
    <t>1001+</t>
  </si>
  <si>
    <t>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</si>
</sst>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Costo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o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de Precios por Ti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de Precios por Ti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de Precios por Tier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de Precios por Tier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de Precios por Tier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F14" displayName="Tabla_1" name="Tabla_1" id="1">
  <tableColumns count="5">
    <tableColumn name="Fase" id="1"/>
    <tableColumn name="Semanas" id="2"/>
    <tableColumn name="Costo RRHH (CLP)" id="3"/>
    <tableColumn name="Costo Indirectos (CLP)" id="4"/>
    <tableColumn name="Costo Total (CLP)" id="5"/>
  </tableColumns>
  <tableStyleInfo name="Costo del proyecto-style" showColumnStripes="0" showFirstColumn="1" showLastColumn="1" showRowStripes="1"/>
</table>
</file>

<file path=xl/tables/table2.xml><?xml version="1.0" encoding="utf-8"?>
<table xmlns="http://schemas.openxmlformats.org/spreadsheetml/2006/main" ref="H3:N7" displayName="Costos_Recursos_humanos" name="Costos_Recursos_humanos" id="2">
  <tableColumns count="7">
    <tableColumn name="Recurso" id="1"/>
    <tableColumn name="Cantidad" id="2"/>
    <tableColumn name="Horas/Semana" id="3"/>
    <tableColumn name="Semanas" id="4"/>
    <tableColumn name="Total Horas" id="5"/>
    <tableColumn name="Tarifa/Hora (CLP)" id="6"/>
    <tableColumn name="Costo Total (CLP)" id="7"/>
  </tableColumns>
  <tableStyleInfo name="Costo del proyecto-style 2" showColumnStripes="0" showFirstColumn="1" showLastColumn="1" showRowStripes="1"/>
</table>
</file>

<file path=xl/tables/table3.xml><?xml version="1.0" encoding="utf-8"?>
<table xmlns="http://schemas.openxmlformats.org/spreadsheetml/2006/main" ref="B6:E16" displayName="Tier_1" name="Tier_1" id="3">
  <tableColumns count="4">
    <tableColumn name="Componente" id="1"/>
    <tableColumn name="Servicio" id="2"/>
    <tableColumn name="Especificaciones" id="3"/>
    <tableColumn name="Costo Mensual" id="4"/>
  </tableColumns>
  <tableStyleInfo name="Tabla de Precios por Tier-style" showColumnStripes="0" showFirstColumn="1" showLastColumn="1" showRowStripes="1"/>
</table>
</file>

<file path=xl/tables/table4.xml><?xml version="1.0" encoding="utf-8"?>
<table xmlns="http://schemas.openxmlformats.org/spreadsheetml/2006/main" ref="G6:J17" displayName="Tier_2" name="Tier_2" id="4">
  <tableColumns count="4">
    <tableColumn name="Componente" id="1"/>
    <tableColumn name="Servicio" id="2"/>
    <tableColumn name="Especificaciones" id="3"/>
    <tableColumn name="Costo Mensual" id="4"/>
  </tableColumns>
  <tableStyleInfo name="Tabla de Precios por Tier-style 2" showColumnStripes="0" showFirstColumn="1" showLastColumn="1" showRowStripes="1"/>
</table>
</file>

<file path=xl/tables/table5.xml><?xml version="1.0" encoding="utf-8"?>
<table xmlns="http://schemas.openxmlformats.org/spreadsheetml/2006/main" ref="L6:O17" displayName="Tier_3" name="Tier_3" id="5">
  <tableColumns count="4">
    <tableColumn name="Componente" id="1"/>
    <tableColumn name="Servicio" id="2"/>
    <tableColumn name="Especificaciones" id="3"/>
    <tableColumn name="Costo Mensual" id="4"/>
  </tableColumns>
  <tableStyleInfo name="Tabla de Precios por Tier-style 3" showColumnStripes="0" showFirstColumn="1" showLastColumn="1" showRowStripes="1"/>
</table>
</file>

<file path=xl/tables/table6.xml><?xml version="1.0" encoding="utf-8"?>
<table xmlns="http://schemas.openxmlformats.org/spreadsheetml/2006/main" ref="Q6:T17" displayName="tier_4" name="tier_4" id="6">
  <tableColumns count="4">
    <tableColumn name="Componente" id="1"/>
    <tableColumn name="Servicio" id="2"/>
    <tableColumn name="Especificaciones" id="3"/>
    <tableColumn name="Costo Mensual" id="4"/>
  </tableColumns>
  <tableStyleInfo name="Tabla de Precios por Tier-style 4" showColumnStripes="0" showFirstColumn="1" showLastColumn="1" showRowStripes="1"/>
</table>
</file>

<file path=xl/tables/table7.xml><?xml version="1.0" encoding="utf-8"?>
<table xmlns="http://schemas.openxmlformats.org/spreadsheetml/2006/main" ref="B22:G26" displayName="Resumen" name="Resumen" id="7">
  <tableColumns count="6">
    <tableColumn name="Tier" id="1"/>
    <tableColumn name="Usuarios" id="2"/>
    <tableColumn name="Precio" id="3"/>
    <tableColumn name="Costo Infraestructura" id="4"/>
    <tableColumn name="Margen Bruto" id="5"/>
    <tableColumn name="Margen %" id="6"/>
  </tableColumns>
  <tableStyleInfo name="Tabla de Precios por Tier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15.63"/>
    <col customWidth="1" min="4" max="4" width="22.63"/>
    <col customWidth="1" min="5" max="5" width="25.5"/>
    <col customWidth="1" min="6" max="6" width="21.88"/>
    <col customWidth="1" min="8" max="8" width="41.0"/>
    <col customWidth="1" min="9" max="9" width="33.0"/>
    <col customWidth="1" min="10" max="10" width="16.75"/>
    <col customWidth="1" min="12" max="12" width="14.13"/>
    <col customWidth="1" min="13" max="13" width="18.63"/>
    <col customWidth="1" min="14" max="14" width="21.88"/>
  </cols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H3" s="1" t="s">
        <v>5</v>
      </c>
      <c r="I3" s="1" t="s">
        <v>6</v>
      </c>
      <c r="J3" s="1" t="s">
        <v>7</v>
      </c>
      <c r="K3" s="1" t="s">
        <v>1</v>
      </c>
      <c r="L3" s="1" t="s">
        <v>8</v>
      </c>
      <c r="M3" s="1" t="s">
        <v>9</v>
      </c>
      <c r="N3" s="1" t="s">
        <v>4</v>
      </c>
    </row>
    <row r="4" ht="22.5" customHeight="1">
      <c r="B4" s="2" t="s">
        <v>10</v>
      </c>
      <c r="C4" s="3">
        <v>1.0</v>
      </c>
      <c r="D4" s="4">
        <f>((J7*C4)*8000)</f>
        <v>960000</v>
      </c>
      <c r="E4" s="4">
        <v>36591.0</v>
      </c>
      <c r="F4" s="4">
        <f t="shared" ref="F4:F13" si="1">SUM(D4:E4)</f>
        <v>996591</v>
      </c>
      <c r="H4" s="2" t="s">
        <v>11</v>
      </c>
      <c r="I4" s="2">
        <v>1.0</v>
      </c>
      <c r="J4" s="2">
        <v>40.0</v>
      </c>
      <c r="K4" s="2">
        <v>11.0</v>
      </c>
      <c r="L4" s="2">
        <v>440.0</v>
      </c>
      <c r="M4" s="2">
        <v>8000.0</v>
      </c>
      <c r="N4" s="4">
        <f t="shared" ref="N4:N6" si="2">M4*L4</f>
        <v>3520000</v>
      </c>
    </row>
    <row r="5" ht="22.5" customHeight="1">
      <c r="B5" s="2" t="s">
        <v>12</v>
      </c>
      <c r="C5" s="3">
        <v>1.0</v>
      </c>
      <c r="D5" s="4">
        <f>((J7*C5)*8000)</f>
        <v>960000</v>
      </c>
      <c r="E5" s="4">
        <v>36591.0</v>
      </c>
      <c r="F5" s="4">
        <f t="shared" si="1"/>
        <v>996591</v>
      </c>
      <c r="H5" s="2" t="s">
        <v>13</v>
      </c>
      <c r="I5" s="2">
        <v>1.0</v>
      </c>
      <c r="J5" s="2">
        <v>40.0</v>
      </c>
      <c r="K5" s="2">
        <v>11.0</v>
      </c>
      <c r="L5" s="2">
        <v>440.0</v>
      </c>
      <c r="M5" s="2">
        <v>8000.0</v>
      </c>
      <c r="N5" s="4">
        <f t="shared" si="2"/>
        <v>3520000</v>
      </c>
    </row>
    <row r="6" ht="22.5" customHeight="1">
      <c r="B6" s="2" t="s">
        <v>14</v>
      </c>
      <c r="C6" s="3">
        <v>1.0</v>
      </c>
      <c r="D6" s="4">
        <f>((J7*C6)*8000)</f>
        <v>960000</v>
      </c>
      <c r="E6" s="4">
        <v>36591.0</v>
      </c>
      <c r="F6" s="4">
        <f t="shared" si="1"/>
        <v>996591</v>
      </c>
      <c r="H6" s="2" t="s">
        <v>15</v>
      </c>
      <c r="I6" s="2">
        <v>1.0</v>
      </c>
      <c r="J6" s="2">
        <v>40.0</v>
      </c>
      <c r="K6" s="2">
        <v>11.0</v>
      </c>
      <c r="L6" s="2">
        <v>440.0</v>
      </c>
      <c r="M6" s="2">
        <v>8000.0</v>
      </c>
      <c r="N6" s="4">
        <f t="shared" si="2"/>
        <v>3520000</v>
      </c>
    </row>
    <row r="7" ht="22.5" customHeight="1">
      <c r="B7" s="2" t="s">
        <v>16</v>
      </c>
      <c r="C7" s="3">
        <v>1.0</v>
      </c>
      <c r="D7" s="4">
        <f>((J7*C7)*8000)</f>
        <v>960000</v>
      </c>
      <c r="E7" s="4">
        <v>36591.0</v>
      </c>
      <c r="F7" s="4">
        <f t="shared" si="1"/>
        <v>996591</v>
      </c>
      <c r="H7" s="2" t="s">
        <v>17</v>
      </c>
      <c r="I7" s="2">
        <v>3.0</v>
      </c>
      <c r="J7" s="2">
        <v>120.0</v>
      </c>
      <c r="K7" s="2">
        <v>11.0</v>
      </c>
      <c r="L7" s="2">
        <v>1320.0</v>
      </c>
      <c r="N7" s="4">
        <f>SUM(N4:N6)</f>
        <v>10560000</v>
      </c>
    </row>
    <row r="8" ht="22.5" customHeight="1">
      <c r="B8" s="2" t="s">
        <v>18</v>
      </c>
      <c r="C8" s="3">
        <v>1.0</v>
      </c>
      <c r="D8" s="4">
        <f>((J7*C8)*8000)</f>
        <v>960000</v>
      </c>
      <c r="E8" s="4">
        <v>36591.0</v>
      </c>
      <c r="F8" s="4">
        <f t="shared" si="1"/>
        <v>996591</v>
      </c>
    </row>
    <row r="9" ht="22.5" customHeight="1">
      <c r="B9" s="2" t="s">
        <v>19</v>
      </c>
      <c r="C9" s="3">
        <v>1.0</v>
      </c>
      <c r="D9" s="4">
        <f>((J7*C9)*8000)</f>
        <v>960000</v>
      </c>
      <c r="E9" s="4">
        <v>36591.0</v>
      </c>
      <c r="F9" s="4">
        <f t="shared" si="1"/>
        <v>996591</v>
      </c>
      <c r="H9" s="5"/>
      <c r="I9" s="5"/>
      <c r="J9" s="5"/>
    </row>
    <row r="10" ht="22.5" customHeight="1">
      <c r="B10" s="2" t="s">
        <v>20</v>
      </c>
      <c r="C10" s="3">
        <v>3.0</v>
      </c>
      <c r="D10" s="4">
        <f>((J7*C10)*8000)</f>
        <v>2880000</v>
      </c>
      <c r="E10" s="4">
        <v>109773.0</v>
      </c>
      <c r="F10" s="4">
        <f t="shared" si="1"/>
        <v>2989773</v>
      </c>
      <c r="H10" s="5"/>
      <c r="I10" s="5"/>
      <c r="J10" s="5"/>
    </row>
    <row r="11" ht="22.5" customHeight="1">
      <c r="B11" s="2" t="s">
        <v>21</v>
      </c>
      <c r="C11" s="3">
        <v>1.0</v>
      </c>
      <c r="D11" s="4">
        <f>((J7*C11)*8000)</f>
        <v>960000</v>
      </c>
      <c r="E11" s="4">
        <v>36591.0</v>
      </c>
      <c r="F11" s="4">
        <f t="shared" si="1"/>
        <v>996591</v>
      </c>
      <c r="H11" s="5"/>
      <c r="I11" s="5"/>
      <c r="J11" s="5"/>
    </row>
    <row r="12" ht="22.5" customHeight="1">
      <c r="B12" s="2" t="s">
        <v>22</v>
      </c>
      <c r="C12" s="3">
        <v>1.0</v>
      </c>
      <c r="D12" s="4">
        <f>((J7*C12)*8000)</f>
        <v>960000</v>
      </c>
      <c r="E12" s="4">
        <v>36591.0</v>
      </c>
      <c r="F12" s="4">
        <f t="shared" si="1"/>
        <v>996591</v>
      </c>
      <c r="H12" s="5"/>
      <c r="I12" s="5"/>
      <c r="J12" s="5"/>
    </row>
    <row r="13" ht="22.5" customHeight="1">
      <c r="B13" s="2" t="s">
        <v>23</v>
      </c>
      <c r="C13" s="3">
        <v>1.0</v>
      </c>
      <c r="D13" s="4">
        <f>((J7*C13)*8000)</f>
        <v>960000</v>
      </c>
      <c r="E13" s="4">
        <v>36591.0</v>
      </c>
      <c r="F13" s="4">
        <f t="shared" si="1"/>
        <v>996591</v>
      </c>
      <c r="H13" s="5"/>
      <c r="I13" s="5"/>
      <c r="J13" s="5"/>
    </row>
    <row r="14" ht="22.5" customHeight="1">
      <c r="B14" s="2" t="s">
        <v>24</v>
      </c>
      <c r="C14" s="3">
        <v>11.0</v>
      </c>
      <c r="D14" s="4">
        <f>((J7*C14)*8000)</f>
        <v>10560000</v>
      </c>
      <c r="E14" s="4">
        <f>SUM(E4:E13)</f>
        <v>439092</v>
      </c>
      <c r="F14" s="4">
        <f>D14+E14</f>
        <v>10999092</v>
      </c>
      <c r="H14" s="5"/>
      <c r="I14" s="5"/>
      <c r="J14" s="5"/>
    </row>
  </sheetData>
  <dataValidations>
    <dataValidation type="custom" allowBlank="1" showDropDown="1" sqref="N4:N7 C4:F14">
      <formula1>AND(ISNUMBER(C4),(NOT(OR(NOT(ISERROR(DATEVALUE(C4))), AND(ISNUMBER(C4), LEFT(CELL("format", C4))="D")))))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2.63"/>
    <col customWidth="1" min="4" max="4" width="24.25"/>
    <col customWidth="1" min="5" max="5" width="20.0"/>
    <col customWidth="1" min="6" max="6" width="15.63"/>
    <col customWidth="1" min="7" max="7" width="17.75"/>
    <col customWidth="1" min="8" max="8" width="22.63"/>
    <col customWidth="1" min="9" max="9" width="24.25"/>
    <col customWidth="1" min="10" max="10" width="19.88"/>
    <col customWidth="1" min="12" max="12" width="17.75"/>
    <col customWidth="1" min="13" max="13" width="22.63"/>
    <col customWidth="1" min="14" max="14" width="24.25"/>
    <col customWidth="1" min="15" max="15" width="19.88"/>
    <col customWidth="1" min="17" max="17" width="17.75"/>
    <col customWidth="1" min="18" max="18" width="24.5"/>
    <col customWidth="1" min="19" max="19" width="23.88"/>
    <col customWidth="1" min="20" max="20" width="16.63"/>
  </cols>
  <sheetData>
    <row r="6" ht="22.5" customHeight="1">
      <c r="B6" s="6" t="s">
        <v>25</v>
      </c>
      <c r="C6" s="6" t="s">
        <v>26</v>
      </c>
      <c r="D6" s="6" t="s">
        <v>27</v>
      </c>
      <c r="E6" s="6" t="s">
        <v>28</v>
      </c>
      <c r="G6" s="1" t="s">
        <v>25</v>
      </c>
      <c r="H6" s="1" t="s">
        <v>26</v>
      </c>
      <c r="I6" s="1" t="s">
        <v>27</v>
      </c>
      <c r="J6" s="1" t="s">
        <v>28</v>
      </c>
      <c r="L6" s="1" t="s">
        <v>25</v>
      </c>
      <c r="M6" s="1" t="s">
        <v>26</v>
      </c>
      <c r="N6" s="1" t="s">
        <v>27</v>
      </c>
      <c r="O6" s="1" t="s">
        <v>28</v>
      </c>
      <c r="Q6" s="1" t="s">
        <v>25</v>
      </c>
      <c r="R6" s="1" t="s">
        <v>26</v>
      </c>
      <c r="S6" s="1" t="s">
        <v>27</v>
      </c>
      <c r="T6" s="1" t="s">
        <v>28</v>
      </c>
    </row>
    <row r="7" ht="22.5" customHeight="1">
      <c r="B7" s="7" t="s">
        <v>29</v>
      </c>
      <c r="C7" s="2" t="s">
        <v>30</v>
      </c>
      <c r="D7" s="2" t="s">
        <v>31</v>
      </c>
      <c r="E7" s="8">
        <v>8000.0</v>
      </c>
      <c r="G7" s="2" t="s">
        <v>29</v>
      </c>
      <c r="H7" s="2" t="s">
        <v>30</v>
      </c>
      <c r="I7" s="2" t="s">
        <v>32</v>
      </c>
      <c r="J7" s="8">
        <v>12000.0</v>
      </c>
      <c r="L7" s="2" t="s">
        <v>29</v>
      </c>
      <c r="M7" s="2" t="s">
        <v>30</v>
      </c>
      <c r="N7" s="2" t="s">
        <v>33</v>
      </c>
      <c r="O7" s="8">
        <v>18000.0</v>
      </c>
      <c r="Q7" s="2" t="s">
        <v>29</v>
      </c>
      <c r="R7" s="2" t="s">
        <v>30</v>
      </c>
      <c r="S7" s="2" t="s">
        <v>34</v>
      </c>
      <c r="T7" s="2">
        <v>30000.0</v>
      </c>
    </row>
    <row r="8" ht="22.5" customHeight="1">
      <c r="B8" s="7" t="s">
        <v>35</v>
      </c>
      <c r="C8" s="2" t="s">
        <v>36</v>
      </c>
      <c r="D8" s="2" t="s">
        <v>37</v>
      </c>
      <c r="E8" s="8">
        <v>14500.0</v>
      </c>
      <c r="G8" s="2" t="s">
        <v>35</v>
      </c>
      <c r="H8" s="2" t="s">
        <v>38</v>
      </c>
      <c r="I8" s="2" t="s">
        <v>39</v>
      </c>
      <c r="J8" s="8">
        <v>28850.0</v>
      </c>
      <c r="L8" s="2" t="s">
        <v>35</v>
      </c>
      <c r="M8" s="2" t="s">
        <v>40</v>
      </c>
      <c r="N8" s="2" t="s">
        <v>41</v>
      </c>
      <c r="O8" s="8">
        <v>57700.0</v>
      </c>
      <c r="Q8" s="2" t="s">
        <v>35</v>
      </c>
      <c r="R8" s="2" t="s">
        <v>42</v>
      </c>
      <c r="S8" s="2" t="s">
        <v>43</v>
      </c>
      <c r="T8" s="2">
        <v>115400.0</v>
      </c>
    </row>
    <row r="9" ht="22.5" customHeight="1">
      <c r="B9" s="7" t="s">
        <v>44</v>
      </c>
      <c r="C9" s="2" t="s">
        <v>45</v>
      </c>
      <c r="D9" s="2" t="s">
        <v>46</v>
      </c>
      <c r="E9" s="8">
        <v>2375.0</v>
      </c>
      <c r="G9" s="2" t="s">
        <v>44</v>
      </c>
      <c r="H9" s="2" t="s">
        <v>45</v>
      </c>
      <c r="I9" s="2" t="s">
        <v>46</v>
      </c>
      <c r="J9" s="8">
        <v>3000.0</v>
      </c>
      <c r="L9" s="2" t="s">
        <v>44</v>
      </c>
      <c r="M9" s="2" t="s">
        <v>47</v>
      </c>
      <c r="N9" s="2" t="s">
        <v>48</v>
      </c>
      <c r="O9" s="8">
        <v>10000.0</v>
      </c>
      <c r="Q9" s="2" t="s">
        <v>44</v>
      </c>
      <c r="R9" s="2" t="s">
        <v>49</v>
      </c>
      <c r="S9" s="2" t="s">
        <v>50</v>
      </c>
      <c r="T9" s="2">
        <v>80000.0</v>
      </c>
    </row>
    <row r="10" ht="22.5" customHeight="1">
      <c r="B10" s="7" t="s">
        <v>51</v>
      </c>
      <c r="C10" s="2" t="s">
        <v>52</v>
      </c>
      <c r="D10" s="2" t="s">
        <v>53</v>
      </c>
      <c r="E10" s="8">
        <v>1400.0</v>
      </c>
      <c r="G10" s="2" t="s">
        <v>51</v>
      </c>
      <c r="H10" s="2" t="s">
        <v>52</v>
      </c>
      <c r="I10" s="2" t="s">
        <v>54</v>
      </c>
      <c r="J10" s="8">
        <v>2000.0</v>
      </c>
      <c r="L10" s="2" t="s">
        <v>51</v>
      </c>
      <c r="M10" s="2" t="s">
        <v>52</v>
      </c>
      <c r="N10" s="2" t="s">
        <v>55</v>
      </c>
      <c r="O10" s="8">
        <v>5000.0</v>
      </c>
      <c r="Q10" s="2" t="s">
        <v>51</v>
      </c>
      <c r="R10" s="2" t="s">
        <v>52</v>
      </c>
      <c r="S10" s="2" t="s">
        <v>56</v>
      </c>
      <c r="T10" s="2">
        <v>15000.0</v>
      </c>
    </row>
    <row r="11" ht="22.5" customHeight="1">
      <c r="B11" s="7" t="s">
        <v>57</v>
      </c>
      <c r="C11" s="2" t="s">
        <v>58</v>
      </c>
      <c r="D11" s="2" t="s">
        <v>59</v>
      </c>
      <c r="E11" s="8">
        <v>125.0</v>
      </c>
      <c r="G11" s="2" t="s">
        <v>57</v>
      </c>
      <c r="H11" s="2" t="s">
        <v>58</v>
      </c>
      <c r="I11" s="2" t="s">
        <v>59</v>
      </c>
      <c r="J11" s="8">
        <v>125.0</v>
      </c>
      <c r="L11" s="2" t="s">
        <v>57</v>
      </c>
      <c r="M11" s="2" t="s">
        <v>58</v>
      </c>
      <c r="N11" s="2" t="s">
        <v>59</v>
      </c>
      <c r="O11" s="8">
        <v>125.0</v>
      </c>
      <c r="Q11" s="2" t="s">
        <v>57</v>
      </c>
      <c r="R11" s="2" t="s">
        <v>58</v>
      </c>
      <c r="S11" s="2" t="s">
        <v>59</v>
      </c>
      <c r="T11" s="2">
        <v>125.0</v>
      </c>
    </row>
    <row r="12" ht="22.5" customHeight="1">
      <c r="B12" s="7" t="s">
        <v>60</v>
      </c>
      <c r="E12" s="8">
        <f>SUM(E7:E11)</f>
        <v>26400</v>
      </c>
      <c r="G12" s="2" t="s">
        <v>61</v>
      </c>
      <c r="H12" s="2" t="s">
        <v>62</v>
      </c>
      <c r="I12" s="2" t="s">
        <v>63</v>
      </c>
      <c r="J12" s="8">
        <v>1500.0</v>
      </c>
      <c r="L12" s="2" t="s">
        <v>61</v>
      </c>
      <c r="M12" s="2" t="s">
        <v>64</v>
      </c>
      <c r="N12" s="2" t="s">
        <v>63</v>
      </c>
      <c r="O12" s="8">
        <v>3000.0</v>
      </c>
      <c r="Q12" s="2" t="s">
        <v>61</v>
      </c>
      <c r="R12" s="2" t="s">
        <v>65</v>
      </c>
      <c r="S12" s="2" t="s">
        <v>66</v>
      </c>
      <c r="T12" s="2">
        <v>8000.0</v>
      </c>
    </row>
    <row r="13" ht="22.5" customHeight="1">
      <c r="B13" s="9"/>
      <c r="E13" s="10"/>
      <c r="G13" s="2" t="s">
        <v>60</v>
      </c>
      <c r="J13" s="8">
        <v>47475.0</v>
      </c>
      <c r="L13" s="2" t="s">
        <v>60</v>
      </c>
      <c r="O13" s="8">
        <v>93825.0</v>
      </c>
      <c r="Q13" s="2" t="s">
        <v>60</v>
      </c>
      <c r="T13" s="2">
        <v>248525.0</v>
      </c>
    </row>
    <row r="14" ht="22.5" customHeight="1">
      <c r="B14" s="7" t="s">
        <v>67</v>
      </c>
      <c r="E14" s="8">
        <f>D23</f>
        <v>52800</v>
      </c>
      <c r="J14" s="10"/>
      <c r="O14" s="10"/>
    </row>
    <row r="15" ht="22.5" customHeight="1">
      <c r="B15" s="7" t="s">
        <v>68</v>
      </c>
      <c r="E15" s="8">
        <f>MINUS(E14,E12)</f>
        <v>26400</v>
      </c>
      <c r="G15" s="2" t="s">
        <v>67</v>
      </c>
      <c r="J15" s="8">
        <f>D24</f>
        <v>94950</v>
      </c>
      <c r="L15" s="2" t="s">
        <v>67</v>
      </c>
      <c r="O15" s="8">
        <f>D25</f>
        <v>187650</v>
      </c>
      <c r="Q15" s="2" t="s">
        <v>67</v>
      </c>
      <c r="T15" s="2" t="s">
        <v>69</v>
      </c>
    </row>
    <row r="16" ht="22.5" customHeight="1">
      <c r="B16" s="7" t="s">
        <v>70</v>
      </c>
      <c r="E16" s="8">
        <f>ROUND((E15/E14)*100,0)</f>
        <v>50</v>
      </c>
      <c r="G16" s="2" t="s">
        <v>68</v>
      </c>
      <c r="J16" s="8">
        <v>32515.0</v>
      </c>
      <c r="L16" s="2" t="s">
        <v>68</v>
      </c>
      <c r="O16" s="8">
        <v>36165.0</v>
      </c>
      <c r="Q16" s="2" t="s">
        <v>68</v>
      </c>
      <c r="R16" s="2" t="s">
        <v>71</v>
      </c>
    </row>
    <row r="17" ht="22.5" customHeight="1">
      <c r="G17" s="2" t="s">
        <v>70</v>
      </c>
      <c r="J17" s="8">
        <v>0.41</v>
      </c>
      <c r="L17" s="2" t="s">
        <v>70</v>
      </c>
      <c r="O17" s="8">
        <v>0.28</v>
      </c>
      <c r="Q17" s="2" t="s">
        <v>70</v>
      </c>
      <c r="R17" s="11">
        <v>1.0</v>
      </c>
    </row>
    <row r="22" ht="22.5" customHeight="1">
      <c r="B22" s="1" t="s">
        <v>72</v>
      </c>
      <c r="C22" s="1" t="s">
        <v>73</v>
      </c>
      <c r="D22" s="1" t="s">
        <v>74</v>
      </c>
      <c r="E22" s="1" t="s">
        <v>75</v>
      </c>
      <c r="F22" s="1" t="s">
        <v>76</v>
      </c>
      <c r="G22" s="1" t="s">
        <v>70</v>
      </c>
    </row>
    <row r="23" ht="22.5" customHeight="1">
      <c r="B23" s="2" t="s">
        <v>77</v>
      </c>
      <c r="C23" s="2" t="s">
        <v>78</v>
      </c>
      <c r="D23" s="12">
        <f t="shared" ref="D23:D25" si="1">E23+F23</f>
        <v>52800</v>
      </c>
      <c r="E23" s="4">
        <v>26400.0</v>
      </c>
      <c r="F23" s="4">
        <v>26400.0</v>
      </c>
      <c r="G23" s="11">
        <v>1.0</v>
      </c>
    </row>
    <row r="24" ht="22.5" customHeight="1">
      <c r="B24" s="2" t="s">
        <v>79</v>
      </c>
      <c r="C24" s="2" t="s">
        <v>80</v>
      </c>
      <c r="D24" s="12">
        <f t="shared" si="1"/>
        <v>94950</v>
      </c>
      <c r="E24" s="4">
        <v>47475.0</v>
      </c>
      <c r="F24" s="4">
        <v>47475.0</v>
      </c>
      <c r="G24" s="11">
        <v>1.0</v>
      </c>
    </row>
    <row r="25" ht="22.5" customHeight="1">
      <c r="B25" s="2" t="s">
        <v>81</v>
      </c>
      <c r="C25" s="2" t="s">
        <v>82</v>
      </c>
      <c r="D25" s="12">
        <f t="shared" si="1"/>
        <v>187650</v>
      </c>
      <c r="E25" s="4">
        <v>93825.0</v>
      </c>
      <c r="F25" s="4">
        <v>93825.0</v>
      </c>
      <c r="G25" s="11">
        <v>1.0</v>
      </c>
    </row>
    <row r="26" ht="22.5" customHeight="1">
      <c r="B26" s="2" t="s">
        <v>83</v>
      </c>
      <c r="C26" s="2" t="s">
        <v>84</v>
      </c>
      <c r="D26" s="13" t="s">
        <v>85</v>
      </c>
      <c r="E26" s="4">
        <v>248525.0</v>
      </c>
      <c r="F26" s="2" t="s">
        <v>85</v>
      </c>
      <c r="G26" s="2" t="s">
        <v>85</v>
      </c>
    </row>
  </sheetData>
  <dataValidations>
    <dataValidation type="custom" allowBlank="1" showDropDown="1" sqref="E7:E16 O7:O17 J7:J17 E23:E26">
      <formula1>AND(ISNUMBER(E7),(NOT(OR(NOT(ISERROR(DATEVALUE(E7))), AND(ISNUMBER(E7), LEFT(CELL("format", E7))="D")))))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